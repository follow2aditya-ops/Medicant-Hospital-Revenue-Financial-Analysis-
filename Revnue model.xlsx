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itya raj\Desktop\"/>
    </mc:Choice>
  </mc:AlternateContent>
  <xr:revisionPtr revIDLastSave="0" documentId="13_ncr:1_{5D48BB73-BCAA-4B75-8B14-413C50CC83BA}" xr6:coauthVersionLast="47" xr6:coauthVersionMax="47" xr10:uidLastSave="{00000000-0000-0000-0000-000000000000}"/>
  <bookViews>
    <workbookView xWindow="-108" yWindow="-108" windowWidth="23256" windowHeight="12456" activeTab="3" xr2:uid="{F7B5F255-E698-4825-BE6B-EE5C07E2C580}"/>
  </bookViews>
  <sheets>
    <sheet name="pw revnue projection" sheetId="1" r:id="rId1"/>
    <sheet name="Smart Prep Institute" sheetId="6" r:id="rId2"/>
    <sheet name="Aakash Institute" sheetId="7" r:id="rId3"/>
    <sheet name="Revnue Projectio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8" l="1"/>
  <c r="D9" i="8"/>
  <c r="B9" i="8"/>
  <c r="G9" i="8"/>
  <c r="C35" i="8" s="1"/>
  <c r="C9" i="8"/>
  <c r="C36" i="8" s="1"/>
  <c r="B18" i="6"/>
  <c r="D16" i="7"/>
  <c r="D18" i="7" s="1"/>
  <c r="D14" i="7"/>
  <c r="C14" i="7"/>
  <c r="C16" i="7" s="1"/>
  <c r="C18" i="7" s="1"/>
  <c r="B14" i="7"/>
  <c r="B16" i="7" s="1"/>
  <c r="B18" i="7" s="1"/>
  <c r="B7" i="7"/>
  <c r="D16" i="6"/>
  <c r="D14" i="6"/>
  <c r="C16" i="6"/>
  <c r="C18" i="6" s="1"/>
  <c r="B16" i="6"/>
  <c r="D18" i="6"/>
  <c r="C14" i="6"/>
  <c r="B14" i="6"/>
  <c r="B7" i="6"/>
  <c r="D16" i="1"/>
  <c r="C16" i="1"/>
  <c r="B16" i="1"/>
  <c r="D12" i="1"/>
  <c r="C12" i="1"/>
  <c r="B12" i="1"/>
  <c r="C37" i="8" l="1"/>
</calcChain>
</file>

<file path=xl/sharedStrings.xml><?xml version="1.0" encoding="utf-8"?>
<sst xmlns="http://schemas.openxmlformats.org/spreadsheetml/2006/main" count="87" uniqueCount="44">
  <si>
    <t>particular</t>
  </si>
  <si>
    <t xml:space="preserve">No.of Students </t>
  </si>
  <si>
    <t>No.of Employees</t>
  </si>
  <si>
    <t>Total Members</t>
  </si>
  <si>
    <t>Financial year</t>
  </si>
  <si>
    <t>Membership Rate</t>
  </si>
  <si>
    <t>Revnue Calculation</t>
  </si>
  <si>
    <t>Base Case (40%)</t>
  </si>
  <si>
    <t xml:space="preserve">Percentage of the case </t>
  </si>
  <si>
    <t>No of Members</t>
  </si>
  <si>
    <t>Total Number of Members</t>
  </si>
  <si>
    <t xml:space="preserve">No of members </t>
  </si>
  <si>
    <t xml:space="preserve">Coupon Rate </t>
  </si>
  <si>
    <t>Revnue On-site</t>
  </si>
  <si>
    <t>Particulars</t>
  </si>
  <si>
    <t>IPD</t>
  </si>
  <si>
    <t>OPD</t>
  </si>
  <si>
    <t>Actual revenue</t>
  </si>
  <si>
    <t>Total</t>
  </si>
  <si>
    <t xml:space="preserve">Total </t>
  </si>
  <si>
    <t xml:space="preserve">Total percentage revenue from coupon </t>
  </si>
  <si>
    <t>Particular</t>
  </si>
  <si>
    <t xml:space="preserve">PW Revenue model </t>
  </si>
  <si>
    <t>Conservative Case (20%)</t>
  </si>
  <si>
    <t>Optimistic Case (60%)</t>
  </si>
  <si>
    <t xml:space="preserve">Formula : - Total members Multiplied by percent </t>
  </si>
  <si>
    <t>No. of Members</t>
  </si>
  <si>
    <t>Formula:-Number of Members Multiplied by Coupon charges</t>
  </si>
  <si>
    <t xml:space="preserve">No. of members </t>
  </si>
  <si>
    <t xml:space="preserve">Smartprep Revenue model </t>
  </si>
  <si>
    <t>Revenue Calculation</t>
  </si>
  <si>
    <t>Revenue On-site</t>
  </si>
  <si>
    <t xml:space="preserve">Aakash Institute Revenue model </t>
  </si>
  <si>
    <t>PW revenue On-site</t>
  </si>
  <si>
    <t>Smart Prep revenue On-site</t>
  </si>
  <si>
    <t>Aakash revenue On-site</t>
  </si>
  <si>
    <t xml:space="preserve">revenue from OPD &amp;IPD </t>
  </si>
  <si>
    <t>revenue from Base Case</t>
  </si>
  <si>
    <t>% revenue generated from coupons scheme in FY 26-27</t>
  </si>
  <si>
    <t>amount</t>
  </si>
  <si>
    <t>Note- 1. This revenue mode is the study of obervation and assumption it has no connection with the real life scanario.                                                                                                                                                                2. The comparison is done on the Base Case.</t>
  </si>
  <si>
    <t xml:space="preserve">Total Revenue from Coupon Scheme </t>
  </si>
  <si>
    <t>Total Revnue Projection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</si>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</sst>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theme="7" tint="0.59999389629810485"/>
      <name val="Aptos Narrow"/>
      <family val="2"/>
    </font>
    <font>
      <sz val="22"/>
      <color theme="1"/>
      <name val="Aptos Narrow"/>
      <family val="2"/>
    </font>
    <font>
      <b/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164" fontId="4" fillId="5" borderId="1" xfId="0" applyNumberFormat="1" applyFont="1" applyFill="1" applyBorder="1"/>
    <xf numFmtId="164" fontId="4" fillId="4" borderId="1" xfId="0" applyNumberFormat="1" applyFont="1" applyFill="1" applyBorder="1"/>
    <xf numFmtId="164" fontId="4" fillId="3" borderId="1" xfId="0" applyNumberFormat="1" applyFont="1" applyFill="1" applyBorder="1"/>
    <xf numFmtId="164" fontId="4" fillId="5" borderId="13" xfId="0" applyNumberFormat="1" applyFont="1" applyFill="1" applyBorder="1"/>
    <xf numFmtId="164" fontId="4" fillId="7" borderId="13" xfId="0" applyNumberFormat="1" applyFont="1" applyFill="1" applyBorder="1"/>
    <xf numFmtId="164" fontId="4" fillId="8" borderId="1" xfId="0" applyNumberFormat="1" applyFont="1" applyFill="1" applyBorder="1"/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3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6" borderId="0" xfId="0" applyNumberFormat="1" applyFont="1" applyFill="1"/>
    <xf numFmtId="164" fontId="4" fillId="9" borderId="1" xfId="0" applyNumberFormat="1" applyFont="1" applyFill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9" fontId="5" fillId="0" borderId="0" xfId="1" applyFont="1"/>
    <xf numFmtId="0" fontId="8" fillId="6" borderId="1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5" fillId="6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  <xf numFmtId="0" fontId="5" fillId="5" borderId="1" xfId="0" applyFont="1" applyFill="1" applyBorder="1"/>
    <xf numFmtId="9" fontId="5" fillId="5" borderId="1" xfId="0" applyNumberFormat="1" applyFont="1" applyFill="1" applyBorder="1"/>
    <xf numFmtId="0" fontId="8" fillId="6" borderId="1" xfId="0" applyFont="1" applyFill="1" applyBorder="1" applyAlignment="1">
      <alignment wrapText="1"/>
    </xf>
    <xf numFmtId="0" fontId="8" fillId="5" borderId="1" xfId="0" applyFont="1" applyFill="1" applyBorder="1"/>
    <xf numFmtId="164" fontId="5" fillId="5" borderId="1" xfId="0" applyNumberFormat="1" applyFont="1" applyFill="1" applyBorder="1"/>
    <xf numFmtId="0" fontId="5" fillId="6" borderId="0" xfId="0" applyFont="1" applyFill="1"/>
    <xf numFmtId="0" fontId="8" fillId="5" borderId="0" xfId="0" applyFont="1" applyFill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164" fontId="5" fillId="5" borderId="13" xfId="0" applyNumberFormat="1" applyFont="1" applyFill="1" applyBorder="1"/>
    <xf numFmtId="0" fontId="8" fillId="5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5" borderId="13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3" fillId="10" borderId="0" xfId="0" applyFont="1" applyFill="1" applyAlignment="1">
      <alignment horizontal="left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F09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ptos Narrow" panose="020B0004020202020204" pitchFamily="34" charset="0"/>
              </a:rPr>
              <a:t>PW Revenue model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'pw revnue projection'!$B$16:$D$16</c:f>
              <c:numCache>
                <c:formatCode>[$₹-4009]\ #,##0.00</c:formatCode>
                <c:ptCount val="3"/>
                <c:pt idx="0">
                  <c:v>15000000</c:v>
                </c:pt>
                <c:pt idx="1">
                  <c:v>30000000</c:v>
                </c:pt>
                <c:pt idx="2">
                  <c:v>45000000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9-44BE-A269-E21EC2D2CA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'pw revnue projection'!$B$17:$D$17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9-44BE-A269-E21EC2D2C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62335"/>
        <c:axId val="204147455"/>
      </c:barChart>
      <c:catAx>
        <c:axId val="20416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7455"/>
        <c:crosses val="autoZero"/>
        <c:auto val="1"/>
        <c:lblAlgn val="ctr"/>
        <c:lblOffset val="100"/>
        <c:noMultiLvlLbl val="0"/>
      </c:catAx>
      <c:valAx>
        <c:axId val="2041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ptos Narrow" panose="020B0004020202020204" pitchFamily="34" charset="0"/>
              </a:rPr>
              <a:t>SmartPrep</a:t>
            </a:r>
            <a:r>
              <a:rPr lang="en-US" baseline="0">
                <a:latin typeface="Aptos Narrow" panose="020B0004020202020204" pitchFamily="34" charset="0"/>
              </a:rPr>
              <a:t> Revnue model</a:t>
            </a:r>
            <a:endParaRPr lang="en-US"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'Smart Prep Institute'!$B$18:$D$18</c:f>
              <c:numCache>
                <c:formatCode>[$₹-4009]\ #,##0.00</c:formatCode>
                <c:ptCount val="3"/>
                <c:pt idx="0">
                  <c:v>5100000</c:v>
                </c:pt>
                <c:pt idx="1">
                  <c:v>10200000</c:v>
                </c:pt>
                <c:pt idx="2">
                  <c:v>15300000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5-452E-9E0C-34CF8429A8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'Smart Prep Institute'!$B$19:$D$19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5-452E-9E0C-34CF8429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46975"/>
        <c:axId val="204149855"/>
      </c:barChart>
      <c:catAx>
        <c:axId val="20414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9855"/>
        <c:crosses val="autoZero"/>
        <c:auto val="1"/>
        <c:lblAlgn val="ctr"/>
        <c:lblOffset val="100"/>
        <c:noMultiLvlLbl val="0"/>
      </c:catAx>
      <c:valAx>
        <c:axId val="2041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4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ptos Narrow" panose="020B0004020202020204" pitchFamily="34" charset="0"/>
              </a:rPr>
              <a:t>Aakas</a:t>
            </a:r>
            <a:r>
              <a:rPr lang="en-US" baseline="0">
                <a:latin typeface="Aptos Narrow" panose="020B0004020202020204" pitchFamily="34" charset="0"/>
              </a:rPr>
              <a:t>h Institute Revnue projection</a:t>
            </a:r>
            <a:endParaRPr lang="en-US"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'Aakash Institute'!$B$18:$D$18</c:f>
              <c:numCache>
                <c:formatCode>[$₹-4009]\ #,##0.00</c:formatCode>
                <c:ptCount val="3"/>
                <c:pt idx="0">
                  <c:v>7500000</c:v>
                </c:pt>
                <c:pt idx="1">
                  <c:v>15000000</c:v>
                </c:pt>
                <c:pt idx="2">
                  <c:v>22500000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7-41DC-BC37-34F52F8613B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'Aakash Institute'!$B$19:$D$19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7-41DC-BC37-34F52F861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734703"/>
        <c:axId val="1789735183"/>
      </c:barChart>
      <c:catAx>
        <c:axId val="178973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35183"/>
        <c:crosses val="autoZero"/>
        <c:auto val="1"/>
        <c:lblAlgn val="ctr"/>
        <c:lblOffset val="100"/>
        <c:noMultiLvlLbl val="0"/>
      </c:catAx>
      <c:valAx>
        <c:axId val="17897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ptos Narrow" panose="020B0004020202020204" pitchFamily="34" charset="0"/>
              </a:rPr>
              <a:t>Revnue</a:t>
            </a:r>
            <a:r>
              <a:rPr lang="en-US" baseline="0">
                <a:latin typeface="Aptos Narrow" panose="020B0004020202020204" pitchFamily="34" charset="0"/>
              </a:rPr>
              <a:t> from all the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'Revnue Projections'!$C$6</c:f>
              <c:numCache>
                <c:formatCode>[$₹-4009]\ #,##0.00</c:formatCode>
                <c:ptCount val="1"/>
                <c:pt idx="0">
                  <c:v>30000000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6-4361-9797-2A3073CE1B36}"/>
            </c:ext>
          </c:extLst>
        </c:ser>
        <c:ser>
          <c:idx val="1"/>
          <c:order val="1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'Revnue Projections'!$C$7</c:f>
              <c:numCache>
                <c:formatCode>[$₹-4009]\ #,##0.00</c:formatCode>
                <c:ptCount val="1"/>
                <c:pt idx="0">
                  <c:v>10200000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6-4361-9797-2A3073CE1B36}"/>
            </c:ext>
          </c:extLst>
        </c:ser>
        <c:ser>
          <c:idx val="2"/>
          <c:order val="2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'Revnue Projections'!$C$8</c:f>
              <c:numCache>
                <c:formatCode>[$₹-4009]\ #,##0.00</c:formatCode>
                <c:ptCount val="1"/>
                <c:pt idx="0">
                  <c:v>15000000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06-4361-9797-2A3073CE1B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65176399"/>
        <c:axId val="1365169199"/>
      </c:barChart>
      <c:catAx>
        <c:axId val="136517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69199"/>
        <c:crosses val="autoZero"/>
        <c:auto val="1"/>
        <c:lblAlgn val="ctr"/>
        <c:lblOffset val="100"/>
        <c:noMultiLvlLbl val="0"/>
      </c:catAx>
      <c:valAx>
        <c:axId val="136516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7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ptos Narrow" panose="020B0004020202020204" pitchFamily="34" charset="0"/>
              </a:rPr>
              <a:t>Revenue from OPD</a:t>
            </a:r>
            <a:r>
              <a:rPr lang="en-US" baseline="0">
                <a:latin typeface="Aptos Narrow" panose="020B0004020202020204" pitchFamily="34" charset="0"/>
              </a:rPr>
              <a:t> &amp; IPD</a:t>
            </a:r>
            <a:endParaRPr lang="en-US">
              <a:latin typeface="Aptos Narrow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'Revnue Projections'!$G$7</c:f>
              <c:numCache>
                <c:formatCode>[$₹-4009]\ #,##0.00</c:formatCode>
                <c:ptCount val="1"/>
                <c:pt idx="0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4-407F-B673-25A4902FE6FF}"/>
            </c:ext>
          </c:extLst>
        </c:ser>
        <c:ser>
          <c:idx val="1"/>
          <c:order val="1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'Revnue Projections'!$G$8</c:f>
              <c:numCache>
                <c:formatCode>[$₹-4009]\ #,##0.00</c:formatCode>
                <c:ptCount val="1"/>
                <c:pt idx="0">
                  <c:v>300000000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4-407F-B673-25A4902FE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5136559"/>
        <c:axId val="1365141359"/>
      </c:barChart>
      <c:catAx>
        <c:axId val="136513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41359"/>
        <c:crosses val="autoZero"/>
        <c:auto val="1"/>
        <c:lblAlgn val="ctr"/>
        <c:lblOffset val="100"/>
        <c:noMultiLvlLbl val="0"/>
      </c:catAx>
      <c:valAx>
        <c:axId val="136514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3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ptos Narrow" panose="020B0004020202020204" pitchFamily="34" charset="0"/>
              </a:rPr>
              <a:t>Previous Yr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Previous Yr</c:v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C-454E-8770-5642804225A6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C-454E-8770-564280422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'Revnue Projections'!$C$35:$C$36</c:f>
              <c:numCache>
                <c:formatCode>[$₹-4009]\ #,##0.00</c:formatCode>
                <c:ptCount val="2"/>
                <c:pt idx="0">
                  <c:v>310000000</c:v>
                </c:pt>
                <c:pt idx="1">
                  <c:v>55200000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2-4A71-A12F-9A83275E9D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v>Rev from coupons</c:v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5D7C-454E-8770-5642804225A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5D7C-454E-8770-5642804225A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'Revnue Projections'!$D$35:$D$36</c15:sqref>
                        </c15:formulaRef>
                      </c:ext>
                    </c:extLst>
                    <c:numCache>
                      <c:formatCode>[$₹-4009]\ #,##0.00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292-4A71-A12F-9A83275E9DE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0</xdr:rowOff>
    </xdr:from>
    <xdr:to>
      <xdr:col>13</xdr:col>
      <xdr:colOff>114300</xdr:colOff>
      <xdr:row>14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831FB7-773E-ABFB-C8BC-7F2AE15E3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179070</xdr:rowOff>
    </xdr:from>
    <xdr:to>
      <xdr:col>12</xdr:col>
      <xdr:colOff>304800</xdr:colOff>
      <xdr:row>16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44F355-43B8-7C06-5163-EF89217C2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3810</xdr:rowOff>
    </xdr:from>
    <xdr:to>
      <xdr:col>12</xdr:col>
      <xdr:colOff>601980</xdr:colOff>
      <xdr:row>17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61C5F0-B89B-C530-05BD-3D2C12457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9</xdr:row>
      <xdr:rowOff>179070</xdr:rowOff>
    </xdr:from>
    <xdr:to>
      <xdr:col>3</xdr:col>
      <xdr:colOff>876300</xdr:colOff>
      <xdr:row>24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7831D-0120-E52D-2337-E1457EB0B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10</xdr:row>
      <xdr:rowOff>3810</xdr:rowOff>
    </xdr:from>
    <xdr:to>
      <xdr:col>8</xdr:col>
      <xdr:colOff>510540</xdr:colOff>
      <xdr:row>25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019CC6-EDA2-B0F9-C730-8068F3913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22860</xdr:colOff>
      <xdr:row>16</xdr:row>
      <xdr:rowOff>99060</xdr:rowOff>
    </xdr:from>
    <xdr:ext cx="37991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0EB6CB-54C0-232C-F155-13CF3AA6C2AB}"/>
            </a:ext>
          </a:extLst>
        </xdr:cNvPr>
        <xdr:cNvSpPr txBox="1"/>
      </xdr:nvSpPr>
      <xdr:spPr>
        <a:xfrm>
          <a:off x="9334500" y="3688080"/>
          <a:ext cx="3799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IPD</a:t>
          </a:r>
        </a:p>
      </xdr:txBody>
    </xdr:sp>
    <xdr:clientData/>
  </xdr:oneCellAnchor>
  <xdr:oneCellAnchor>
    <xdr:from>
      <xdr:col>7</xdr:col>
      <xdr:colOff>7620</xdr:colOff>
      <xdr:row>20</xdr:row>
      <xdr:rowOff>167640</xdr:rowOff>
    </xdr:from>
    <xdr:ext cx="43781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A40498-765E-4A6D-826E-725533D9CF87}"/>
            </a:ext>
          </a:extLst>
        </xdr:cNvPr>
        <xdr:cNvSpPr txBox="1"/>
      </xdr:nvSpPr>
      <xdr:spPr>
        <a:xfrm>
          <a:off x="9319260" y="4488180"/>
          <a:ext cx="4378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OPD</a:t>
          </a:r>
        </a:p>
      </xdr:txBody>
    </xdr:sp>
    <xdr:clientData/>
  </xdr:oneCellAnchor>
  <xdr:oneCellAnchor>
    <xdr:from>
      <xdr:col>2</xdr:col>
      <xdr:colOff>678180</xdr:colOff>
      <xdr:row>19</xdr:row>
      <xdr:rowOff>175260</xdr:rowOff>
    </xdr:from>
    <xdr:ext cx="3830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256085-0A6D-46DC-9132-1A2859B8D91C}"/>
            </a:ext>
          </a:extLst>
        </xdr:cNvPr>
        <xdr:cNvSpPr txBox="1"/>
      </xdr:nvSpPr>
      <xdr:spPr>
        <a:xfrm>
          <a:off x="3863340" y="4312920"/>
          <a:ext cx="3830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PW</a:t>
          </a:r>
        </a:p>
      </xdr:txBody>
    </xdr:sp>
    <xdr:clientData/>
  </xdr:oneCellAnchor>
  <xdr:oneCellAnchor>
    <xdr:from>
      <xdr:col>2</xdr:col>
      <xdr:colOff>670560</xdr:colOff>
      <xdr:row>16</xdr:row>
      <xdr:rowOff>60960</xdr:rowOff>
    </xdr:from>
    <xdr:ext cx="79258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53D1F5F-400D-4FAF-A7CF-6DBF8DD3C96F}"/>
            </a:ext>
          </a:extLst>
        </xdr:cNvPr>
        <xdr:cNvSpPr txBox="1"/>
      </xdr:nvSpPr>
      <xdr:spPr>
        <a:xfrm>
          <a:off x="3855720" y="3649980"/>
          <a:ext cx="7925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Smart</a:t>
          </a:r>
          <a:r>
            <a:rPr lang="en-US" sz="1100" baseline="0"/>
            <a:t>Prep</a:t>
          </a:r>
          <a:endParaRPr lang="en-US" sz="1100"/>
        </a:p>
      </xdr:txBody>
    </xdr:sp>
    <xdr:clientData/>
  </xdr:oneCellAnchor>
  <xdr:oneCellAnchor>
    <xdr:from>
      <xdr:col>2</xdr:col>
      <xdr:colOff>693420</xdr:colOff>
      <xdr:row>14</xdr:row>
      <xdr:rowOff>31205</xdr:rowOff>
    </xdr:from>
    <xdr:ext cx="62671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92C798-F2ED-4B4A-A782-C23F90B11C87}"/>
            </a:ext>
          </a:extLst>
        </xdr:cNvPr>
        <xdr:cNvSpPr txBox="1"/>
      </xdr:nvSpPr>
      <xdr:spPr>
        <a:xfrm>
          <a:off x="3879306" y="2665548"/>
          <a:ext cx="6267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Aakash</a:t>
          </a:r>
          <a:r>
            <a:rPr lang="en-US" sz="1100" baseline="0"/>
            <a:t> </a:t>
          </a:r>
          <a:endParaRPr lang="en-US" sz="1100"/>
        </a:p>
      </xdr:txBody>
    </xdr:sp>
    <xdr:clientData/>
  </xdr:oneCellAnchor>
  <xdr:twoCellAnchor>
    <xdr:from>
      <xdr:col>5</xdr:col>
      <xdr:colOff>182880</xdr:colOff>
      <xdr:row>26</xdr:row>
      <xdr:rowOff>3810</xdr:rowOff>
    </xdr:from>
    <xdr:to>
      <xdr:col>8</xdr:col>
      <xdr:colOff>502920</xdr:colOff>
      <xdr:row>41</xdr:row>
      <xdr:rowOff>3810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8618ABD-111D-0371-42DE-E37155C0E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EF79-B474-4842-AB39-5712659B74EC}">
  <dimension ref="A1:D18"/>
  <sheetViews>
    <sheetView workbookViewId="0">
      <selection activeCell="J20" sqref="J20"/>
    </sheetView>
  </sheetViews>
  <sheetFormatPr defaultRowHeight="14.4" x14ac:dyDescent="0.3"/>
  <cols>
    <col min="1" max="1" width="43.21875" style="23" customWidth="1"/>
    <col min="2" max="2" width="14.109375" style="23" customWidth="1"/>
    <col min="3" max="3" width="16.44140625" style="23" customWidth="1"/>
    <col min="4" max="4" width="16.109375" style="23" customWidth="1"/>
    <col min="5" max="16384" width="8.88671875" style="23"/>
  </cols>
  <sheetData>
    <row r="1" spans="1:4" ht="14.4" customHeight="1" x14ac:dyDescent="0.3">
      <c r="A1" s="1" t="s">
        <v>22</v>
      </c>
      <c r="B1" s="2"/>
      <c r="C1" s="2"/>
      <c r="D1" s="3"/>
    </row>
    <row r="2" spans="1:4" ht="14.4" customHeight="1" x14ac:dyDescent="0.3">
      <c r="A2" s="4"/>
      <c r="B2" s="5"/>
      <c r="C2" s="5"/>
      <c r="D2" s="6"/>
    </row>
    <row r="3" spans="1:4" ht="14.4" customHeight="1" x14ac:dyDescent="0.3">
      <c r="A3" s="7"/>
      <c r="B3" s="8"/>
      <c r="C3" s="8"/>
      <c r="D3" s="9"/>
    </row>
    <row r="4" spans="1:4" x14ac:dyDescent="0.3">
      <c r="A4" s="41" t="s">
        <v>0</v>
      </c>
      <c r="B4" s="42" t="s">
        <v>4</v>
      </c>
      <c r="C4" s="43"/>
      <c r="D4" s="44"/>
    </row>
    <row r="5" spans="1:4" x14ac:dyDescent="0.3">
      <c r="A5" s="41" t="s">
        <v>1</v>
      </c>
      <c r="B5" s="42">
        <v>2500</v>
      </c>
      <c r="C5" s="43"/>
      <c r="D5" s="44"/>
    </row>
    <row r="6" spans="1:4" x14ac:dyDescent="0.3">
      <c r="A6" s="41" t="s">
        <v>5</v>
      </c>
      <c r="B6" s="42">
        <v>30000</v>
      </c>
      <c r="C6" s="43"/>
      <c r="D6" s="44"/>
    </row>
    <row r="7" spans="1:4" ht="14.4" customHeight="1" x14ac:dyDescent="0.3">
      <c r="A7" s="45" t="s">
        <v>6</v>
      </c>
      <c r="B7" s="46" t="s">
        <v>23</v>
      </c>
      <c r="C7" s="46" t="s">
        <v>7</v>
      </c>
      <c r="D7" s="46" t="s">
        <v>24</v>
      </c>
    </row>
    <row r="8" spans="1:4" x14ac:dyDescent="0.3">
      <c r="A8" s="47"/>
      <c r="B8" s="48"/>
      <c r="C8" s="48"/>
      <c r="D8" s="48"/>
    </row>
    <row r="9" spans="1:4" x14ac:dyDescent="0.3">
      <c r="A9" s="59" t="s">
        <v>25</v>
      </c>
      <c r="B9" s="60"/>
      <c r="C9" s="60"/>
      <c r="D9" s="61"/>
    </row>
    <row r="10" spans="1:4" x14ac:dyDescent="0.3">
      <c r="A10" s="41" t="s">
        <v>26</v>
      </c>
      <c r="B10" s="52">
        <v>2500</v>
      </c>
      <c r="C10" s="52">
        <v>2500</v>
      </c>
      <c r="D10" s="52">
        <v>2500</v>
      </c>
    </row>
    <row r="11" spans="1:4" x14ac:dyDescent="0.3">
      <c r="A11" s="41" t="s">
        <v>8</v>
      </c>
      <c r="B11" s="53">
        <v>0.2</v>
      </c>
      <c r="C11" s="53">
        <v>0.4</v>
      </c>
      <c r="D11" s="53">
        <v>0.6</v>
      </c>
    </row>
    <row r="12" spans="1:4" x14ac:dyDescent="0.3">
      <c r="A12" s="54" t="s">
        <v>10</v>
      </c>
      <c r="B12" s="55">
        <f>B10*B11</f>
        <v>500</v>
      </c>
      <c r="C12" s="55">
        <f>C10*C11</f>
        <v>1000</v>
      </c>
      <c r="D12" s="55">
        <f>D10*D11</f>
        <v>1500</v>
      </c>
    </row>
    <row r="13" spans="1:4" x14ac:dyDescent="0.3">
      <c r="A13" s="59" t="s">
        <v>27</v>
      </c>
      <c r="B13" s="60"/>
      <c r="C13" s="60"/>
      <c r="D13" s="61"/>
    </row>
    <row r="14" spans="1:4" x14ac:dyDescent="0.3">
      <c r="A14" s="41" t="s">
        <v>28</v>
      </c>
      <c r="B14" s="52">
        <v>500</v>
      </c>
      <c r="C14" s="52">
        <v>1000</v>
      </c>
      <c r="D14" s="52">
        <v>1500</v>
      </c>
    </row>
    <row r="15" spans="1:4" x14ac:dyDescent="0.3">
      <c r="A15" s="41" t="s">
        <v>12</v>
      </c>
      <c r="B15" s="52">
        <v>30000</v>
      </c>
      <c r="C15" s="52">
        <v>30000</v>
      </c>
      <c r="D15" s="52">
        <v>30000</v>
      </c>
    </row>
    <row r="16" spans="1:4" x14ac:dyDescent="0.3">
      <c r="A16" s="41" t="s">
        <v>13</v>
      </c>
      <c r="B16" s="56">
        <f>B15*B14</f>
        <v>15000000</v>
      </c>
      <c r="C16" s="56">
        <f>C15*C14</f>
        <v>30000000</v>
      </c>
      <c r="D16" s="56">
        <f>D15*D14</f>
        <v>45000000</v>
      </c>
    </row>
    <row r="17" spans="1:4" ht="28.8" x14ac:dyDescent="0.3">
      <c r="A17" s="57"/>
      <c r="B17" s="65" t="s">
        <v>23</v>
      </c>
      <c r="C17" s="65" t="s">
        <v>7</v>
      </c>
      <c r="D17" s="65" t="s">
        <v>24</v>
      </c>
    </row>
    <row r="18" spans="1:4" ht="14.4" customHeight="1" x14ac:dyDescent="0.3">
      <c r="A18" s="66"/>
      <c r="B18" s="67"/>
      <c r="C18" s="67"/>
      <c r="D18" s="67"/>
    </row>
  </sheetData>
  <mergeCells count="8">
    <mergeCell ref="A1:D3"/>
    <mergeCell ref="D7:D8"/>
    <mergeCell ref="C7:C8"/>
    <mergeCell ref="B7:B8"/>
    <mergeCell ref="B5:D5"/>
    <mergeCell ref="B6:D6"/>
    <mergeCell ref="A7:A8"/>
    <mergeCell ref="B4:D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BE8F-0ABA-49E1-AC29-1E43AC74B0C7}">
  <dimension ref="A1:D20"/>
  <sheetViews>
    <sheetView workbookViewId="0">
      <selection activeCell="H21" sqref="H21"/>
    </sheetView>
  </sheetViews>
  <sheetFormatPr defaultRowHeight="14.4" x14ac:dyDescent="0.3"/>
  <cols>
    <col min="1" max="1" width="43.21875" style="23" customWidth="1"/>
    <col min="2" max="2" width="14.109375" style="23" customWidth="1"/>
    <col min="3" max="3" width="16.44140625" style="23" customWidth="1"/>
    <col min="4" max="4" width="16.109375" style="23" customWidth="1"/>
    <col min="5" max="16384" width="8.88671875" style="23"/>
  </cols>
  <sheetData>
    <row r="1" spans="1:4" x14ac:dyDescent="0.3">
      <c r="A1" s="1" t="s">
        <v>29</v>
      </c>
      <c r="B1" s="2"/>
      <c r="C1" s="2"/>
      <c r="D1" s="3"/>
    </row>
    <row r="2" spans="1:4" x14ac:dyDescent="0.3">
      <c r="A2" s="4"/>
      <c r="B2" s="5"/>
      <c r="C2" s="5"/>
      <c r="D2" s="6"/>
    </row>
    <row r="3" spans="1:4" x14ac:dyDescent="0.3">
      <c r="A3" s="7"/>
      <c r="B3" s="8"/>
      <c r="C3" s="8"/>
      <c r="D3" s="9"/>
    </row>
    <row r="4" spans="1:4" x14ac:dyDescent="0.3">
      <c r="A4" s="41" t="s">
        <v>0</v>
      </c>
      <c r="B4" s="42" t="s">
        <v>4</v>
      </c>
      <c r="C4" s="43"/>
      <c r="D4" s="44"/>
    </row>
    <row r="5" spans="1:4" x14ac:dyDescent="0.3">
      <c r="A5" s="41" t="s">
        <v>1</v>
      </c>
      <c r="B5" s="42">
        <v>850</v>
      </c>
      <c r="C5" s="43"/>
      <c r="D5" s="44"/>
    </row>
    <row r="6" spans="1:4" x14ac:dyDescent="0.3">
      <c r="A6" s="41" t="s">
        <v>2</v>
      </c>
      <c r="B6" s="42">
        <v>0</v>
      </c>
      <c r="C6" s="43"/>
      <c r="D6" s="44"/>
    </row>
    <row r="7" spans="1:4" x14ac:dyDescent="0.3">
      <c r="A7" s="41" t="s">
        <v>3</v>
      </c>
      <c r="B7" s="42">
        <f>SUM(B5:D6)</f>
        <v>850</v>
      </c>
      <c r="C7" s="43"/>
      <c r="D7" s="44"/>
    </row>
    <row r="8" spans="1:4" x14ac:dyDescent="0.3">
      <c r="A8" s="41" t="s">
        <v>5</v>
      </c>
      <c r="B8" s="42">
        <v>30000</v>
      </c>
      <c r="C8" s="43"/>
      <c r="D8" s="44"/>
    </row>
    <row r="9" spans="1:4" x14ac:dyDescent="0.3">
      <c r="A9" s="45" t="s">
        <v>30</v>
      </c>
      <c r="B9" s="46" t="s">
        <v>23</v>
      </c>
      <c r="C9" s="46" t="s">
        <v>7</v>
      </c>
      <c r="D9" s="46" t="s">
        <v>24</v>
      </c>
    </row>
    <row r="10" spans="1:4" x14ac:dyDescent="0.3">
      <c r="A10" s="47"/>
      <c r="B10" s="48"/>
      <c r="C10" s="48"/>
      <c r="D10" s="48"/>
    </row>
    <row r="11" spans="1:4" x14ac:dyDescent="0.3">
      <c r="A11" s="59" t="s">
        <v>25</v>
      </c>
      <c r="B11" s="60"/>
      <c r="C11" s="60"/>
      <c r="D11" s="61"/>
    </row>
    <row r="12" spans="1:4" x14ac:dyDescent="0.3">
      <c r="A12" s="41" t="s">
        <v>9</v>
      </c>
      <c r="B12" s="52">
        <v>850</v>
      </c>
      <c r="C12" s="52">
        <v>850</v>
      </c>
      <c r="D12" s="52">
        <v>850</v>
      </c>
    </row>
    <row r="13" spans="1:4" x14ac:dyDescent="0.3">
      <c r="A13" s="41" t="s">
        <v>8</v>
      </c>
      <c r="B13" s="53">
        <v>0.2</v>
      </c>
      <c r="C13" s="53">
        <v>0.4</v>
      </c>
      <c r="D13" s="53">
        <v>0.6</v>
      </c>
    </row>
    <row r="14" spans="1:4" x14ac:dyDescent="0.3">
      <c r="A14" s="54" t="s">
        <v>10</v>
      </c>
      <c r="B14" s="55">
        <f>B12*B13</f>
        <v>170</v>
      </c>
      <c r="C14" s="55">
        <f>C12*C13</f>
        <v>340</v>
      </c>
      <c r="D14" s="55">
        <f>D12*D13</f>
        <v>510</v>
      </c>
    </row>
    <row r="15" spans="1:4" x14ac:dyDescent="0.3">
      <c r="A15" s="59" t="s">
        <v>27</v>
      </c>
      <c r="B15" s="60"/>
      <c r="C15" s="60"/>
      <c r="D15" s="61"/>
    </row>
    <row r="16" spans="1:4" x14ac:dyDescent="0.3">
      <c r="A16" s="41" t="s">
        <v>11</v>
      </c>
      <c r="B16" s="52">
        <f>$B$14</f>
        <v>170</v>
      </c>
      <c r="C16" s="52">
        <f>$C$14</f>
        <v>340</v>
      </c>
      <c r="D16" s="52">
        <f>$D$14</f>
        <v>510</v>
      </c>
    </row>
    <row r="17" spans="1:4" x14ac:dyDescent="0.3">
      <c r="A17" s="41" t="s">
        <v>12</v>
      </c>
      <c r="B17" s="52">
        <v>30000</v>
      </c>
      <c r="C17" s="52">
        <v>30000</v>
      </c>
      <c r="D17" s="52">
        <v>30000</v>
      </c>
    </row>
    <row r="18" spans="1:4" x14ac:dyDescent="0.3">
      <c r="A18" s="41" t="s">
        <v>31</v>
      </c>
      <c r="B18" s="62">
        <f>B17*B16</f>
        <v>5100000</v>
      </c>
      <c r="C18" s="62">
        <f>C17*C16</f>
        <v>10200000</v>
      </c>
      <c r="D18" s="62">
        <f>D17*D16</f>
        <v>15300000</v>
      </c>
    </row>
    <row r="19" spans="1:4" ht="14.4" customHeight="1" x14ac:dyDescent="0.3">
      <c r="A19" s="57"/>
      <c r="B19" s="63" t="s">
        <v>23</v>
      </c>
      <c r="C19" s="63" t="s">
        <v>7</v>
      </c>
      <c r="D19" s="63" t="s">
        <v>24</v>
      </c>
    </row>
    <row r="20" spans="1:4" x14ac:dyDescent="0.3">
      <c r="B20" s="64"/>
      <c r="C20" s="64"/>
      <c r="D20" s="64"/>
    </row>
  </sheetData>
  <mergeCells count="10">
    <mergeCell ref="B5:D5"/>
    <mergeCell ref="B6:D6"/>
    <mergeCell ref="B7:D7"/>
    <mergeCell ref="A1:D3"/>
    <mergeCell ref="B4:D4"/>
    <mergeCell ref="B8:D8"/>
    <mergeCell ref="A9:A10"/>
    <mergeCell ref="B9:B10"/>
    <mergeCell ref="C9:C10"/>
    <mergeCell ref="D9:D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A89A-D1D7-4043-A2F3-1CD21EAF99FD}">
  <dimension ref="A1:D19"/>
  <sheetViews>
    <sheetView workbookViewId="0">
      <selection activeCell="I22" sqref="I22"/>
    </sheetView>
  </sheetViews>
  <sheetFormatPr defaultRowHeight="14.4" x14ac:dyDescent="0.3"/>
  <cols>
    <col min="1" max="1" width="43.21875" style="23" customWidth="1"/>
    <col min="2" max="2" width="14.109375" style="23" customWidth="1"/>
    <col min="3" max="3" width="16.44140625" style="23" customWidth="1"/>
    <col min="4" max="4" width="16.109375" style="23" customWidth="1"/>
    <col min="5" max="16384" width="8.88671875" style="23"/>
  </cols>
  <sheetData>
    <row r="1" spans="1:4" x14ac:dyDescent="0.3">
      <c r="A1" s="1" t="s">
        <v>32</v>
      </c>
      <c r="B1" s="2"/>
      <c r="C1" s="2"/>
      <c r="D1" s="3"/>
    </row>
    <row r="2" spans="1:4" x14ac:dyDescent="0.3">
      <c r="A2" s="4"/>
      <c r="B2" s="5"/>
      <c r="C2" s="5"/>
      <c r="D2" s="6"/>
    </row>
    <row r="3" spans="1:4" x14ac:dyDescent="0.3">
      <c r="A3" s="7"/>
      <c r="B3" s="8"/>
      <c r="C3" s="8"/>
      <c r="D3" s="9"/>
    </row>
    <row r="4" spans="1:4" x14ac:dyDescent="0.3">
      <c r="A4" s="41" t="s">
        <v>0</v>
      </c>
      <c r="B4" s="42" t="s">
        <v>4</v>
      </c>
      <c r="C4" s="43"/>
      <c r="D4" s="44"/>
    </row>
    <row r="5" spans="1:4" x14ac:dyDescent="0.3">
      <c r="A5" s="41" t="s">
        <v>1</v>
      </c>
      <c r="B5" s="42">
        <v>1250</v>
      </c>
      <c r="C5" s="43"/>
      <c r="D5" s="44"/>
    </row>
    <row r="6" spans="1:4" x14ac:dyDescent="0.3">
      <c r="A6" s="41" t="s">
        <v>2</v>
      </c>
      <c r="B6" s="42">
        <v>0</v>
      </c>
      <c r="C6" s="43"/>
      <c r="D6" s="44"/>
    </row>
    <row r="7" spans="1:4" x14ac:dyDescent="0.3">
      <c r="A7" s="41" t="s">
        <v>3</v>
      </c>
      <c r="B7" s="42">
        <f>SUM(B5:D6)</f>
        <v>1250</v>
      </c>
      <c r="C7" s="43"/>
      <c r="D7" s="44"/>
    </row>
    <row r="8" spans="1:4" x14ac:dyDescent="0.3">
      <c r="A8" s="41" t="s">
        <v>5</v>
      </c>
      <c r="B8" s="42">
        <v>30000</v>
      </c>
      <c r="C8" s="43"/>
      <c r="D8" s="44"/>
    </row>
    <row r="9" spans="1:4" x14ac:dyDescent="0.3">
      <c r="A9" s="45" t="s">
        <v>30</v>
      </c>
      <c r="B9" s="46" t="s">
        <v>23</v>
      </c>
      <c r="C9" s="46" t="s">
        <v>7</v>
      </c>
      <c r="D9" s="46" t="s">
        <v>24</v>
      </c>
    </row>
    <row r="10" spans="1:4" x14ac:dyDescent="0.3">
      <c r="A10" s="47"/>
      <c r="B10" s="48"/>
      <c r="C10" s="48"/>
      <c r="D10" s="48"/>
    </row>
    <row r="11" spans="1:4" x14ac:dyDescent="0.3">
      <c r="A11" s="49" t="s">
        <v>25</v>
      </c>
      <c r="B11" s="50"/>
      <c r="C11" s="50"/>
      <c r="D11" s="51"/>
    </row>
    <row r="12" spans="1:4" x14ac:dyDescent="0.3">
      <c r="A12" s="41" t="s">
        <v>9</v>
      </c>
      <c r="B12" s="52">
        <v>1250</v>
      </c>
      <c r="C12" s="52">
        <v>1250</v>
      </c>
      <c r="D12" s="52">
        <v>1250</v>
      </c>
    </row>
    <row r="13" spans="1:4" x14ac:dyDescent="0.3">
      <c r="A13" s="41" t="s">
        <v>8</v>
      </c>
      <c r="B13" s="53">
        <v>0.2</v>
      </c>
      <c r="C13" s="53">
        <v>0.4</v>
      </c>
      <c r="D13" s="53">
        <v>0.6</v>
      </c>
    </row>
    <row r="14" spans="1:4" x14ac:dyDescent="0.3">
      <c r="A14" s="54" t="s">
        <v>10</v>
      </c>
      <c r="B14" s="55">
        <f>B12*B13</f>
        <v>250</v>
      </c>
      <c r="C14" s="55">
        <f>C12*C13</f>
        <v>500</v>
      </c>
      <c r="D14" s="55">
        <f>D12*D13</f>
        <v>750</v>
      </c>
    </row>
    <row r="15" spans="1:4" x14ac:dyDescent="0.3">
      <c r="A15" s="49" t="s">
        <v>27</v>
      </c>
      <c r="B15" s="50"/>
      <c r="C15" s="50"/>
      <c r="D15" s="51"/>
    </row>
    <row r="16" spans="1:4" x14ac:dyDescent="0.3">
      <c r="A16" s="41" t="s">
        <v>11</v>
      </c>
      <c r="B16" s="52">
        <f>$B$14</f>
        <v>250</v>
      </c>
      <c r="C16" s="52">
        <f>$C$14</f>
        <v>500</v>
      </c>
      <c r="D16" s="52">
        <f>$D$14</f>
        <v>750</v>
      </c>
    </row>
    <row r="17" spans="1:4" x14ac:dyDescent="0.3">
      <c r="A17" s="41" t="s">
        <v>12</v>
      </c>
      <c r="B17" s="52">
        <v>30000</v>
      </c>
      <c r="C17" s="52">
        <v>30000</v>
      </c>
      <c r="D17" s="52">
        <v>30000</v>
      </c>
    </row>
    <row r="18" spans="1:4" x14ac:dyDescent="0.3">
      <c r="A18" s="41" t="s">
        <v>31</v>
      </c>
      <c r="B18" s="56">
        <f>B17*B16</f>
        <v>7500000</v>
      </c>
      <c r="C18" s="56">
        <f>C17*C16</f>
        <v>15000000</v>
      </c>
      <c r="D18" s="56">
        <f>D17*D16</f>
        <v>22500000</v>
      </c>
    </row>
    <row r="19" spans="1:4" x14ac:dyDescent="0.3">
      <c r="A19" s="57"/>
      <c r="B19" s="58" t="s">
        <v>23</v>
      </c>
      <c r="C19" s="58" t="s">
        <v>7</v>
      </c>
      <c r="D19" s="58" t="s">
        <v>24</v>
      </c>
    </row>
  </sheetData>
  <mergeCells count="10">
    <mergeCell ref="A1:D3"/>
    <mergeCell ref="B4:D4"/>
    <mergeCell ref="B8:D8"/>
    <mergeCell ref="A9:A10"/>
    <mergeCell ref="B9:B10"/>
    <mergeCell ref="C9:C10"/>
    <mergeCell ref="D9:D10"/>
    <mergeCell ref="B5:D5"/>
    <mergeCell ref="B6:D6"/>
    <mergeCell ref="B7:D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C2FB-8D88-44F4-B650-F4ABFE40A4DD}">
  <dimension ref="A1:G41"/>
  <sheetViews>
    <sheetView tabSelected="1" zoomScaleNormal="100" workbookViewId="0">
      <selection activeCell="J21" sqref="J21"/>
    </sheetView>
  </sheetViews>
  <sheetFormatPr defaultRowHeight="14.4" x14ac:dyDescent="0.3"/>
  <cols>
    <col min="1" max="1" width="29" style="23" customWidth="1"/>
    <col min="2" max="2" width="17.44140625" style="23" customWidth="1"/>
    <col min="3" max="3" width="18.5546875" style="23" bestFit="1" customWidth="1"/>
    <col min="4" max="4" width="18.88671875" style="23" bestFit="1" customWidth="1"/>
    <col min="5" max="5" width="2.88671875" style="23" customWidth="1"/>
    <col min="6" max="6" width="23.44140625" style="23" customWidth="1"/>
    <col min="7" max="7" width="29.6640625" style="23" customWidth="1"/>
    <col min="8" max="16384" width="8.88671875" style="23"/>
  </cols>
  <sheetData>
    <row r="1" spans="1:7" ht="14.4" customHeight="1" x14ac:dyDescent="0.3">
      <c r="A1" s="1" t="s">
        <v>41</v>
      </c>
      <c r="B1" s="2"/>
      <c r="C1" s="2"/>
      <c r="D1" s="3"/>
      <c r="E1" s="22"/>
      <c r="F1" s="4" t="s">
        <v>17</v>
      </c>
      <c r="G1" s="5"/>
    </row>
    <row r="2" spans="1:7" ht="19.2" customHeight="1" x14ac:dyDescent="0.3">
      <c r="A2" s="4"/>
      <c r="B2" s="5"/>
      <c r="C2" s="5"/>
      <c r="D2" s="6"/>
      <c r="E2" s="22"/>
      <c r="F2" s="4"/>
      <c r="G2" s="5"/>
    </row>
    <row r="3" spans="1:7" ht="16.8" customHeight="1" x14ac:dyDescent="0.3">
      <c r="A3" s="7"/>
      <c r="B3" s="8"/>
      <c r="C3" s="8"/>
      <c r="D3" s="9"/>
      <c r="E3" s="22"/>
      <c r="F3" s="4"/>
      <c r="G3" s="5"/>
    </row>
    <row r="4" spans="1:7" x14ac:dyDescent="0.3">
      <c r="A4" s="10" t="s">
        <v>0</v>
      </c>
      <c r="B4" s="11" t="s">
        <v>23</v>
      </c>
      <c r="C4" s="11" t="s">
        <v>7</v>
      </c>
      <c r="D4" s="12" t="s">
        <v>24</v>
      </c>
      <c r="E4" s="24"/>
      <c r="F4" s="25"/>
      <c r="G4" s="26"/>
    </row>
    <row r="5" spans="1:7" x14ac:dyDescent="0.3">
      <c r="A5" s="13"/>
      <c r="B5" s="14"/>
      <c r="C5" s="14"/>
      <c r="D5" s="12"/>
      <c r="E5" s="24"/>
      <c r="F5" s="27" t="s">
        <v>14</v>
      </c>
      <c r="G5" s="28" t="s">
        <v>43</v>
      </c>
    </row>
    <row r="6" spans="1:7" x14ac:dyDescent="0.3">
      <c r="A6" s="15" t="s">
        <v>33</v>
      </c>
      <c r="B6" s="16">
        <v>15000000</v>
      </c>
      <c r="C6" s="17">
        <v>30000000</v>
      </c>
      <c r="D6" s="16">
        <v>45000000</v>
      </c>
      <c r="E6" s="29"/>
      <c r="F6" s="27"/>
      <c r="G6" s="28"/>
    </row>
    <row r="7" spans="1:7" x14ac:dyDescent="0.3">
      <c r="A7" s="15" t="s">
        <v>34</v>
      </c>
      <c r="B7" s="16">
        <v>5100000</v>
      </c>
      <c r="C7" s="18">
        <v>10200000</v>
      </c>
      <c r="D7" s="16">
        <v>15300000</v>
      </c>
      <c r="E7" s="29"/>
      <c r="F7" s="15" t="s">
        <v>16</v>
      </c>
      <c r="G7" s="30">
        <v>10000000</v>
      </c>
    </row>
    <row r="8" spans="1:7" x14ac:dyDescent="0.3">
      <c r="A8" s="15" t="s">
        <v>35</v>
      </c>
      <c r="B8" s="19">
        <v>7500000</v>
      </c>
      <c r="C8" s="20">
        <v>15000000</v>
      </c>
      <c r="D8" s="16">
        <v>22500000</v>
      </c>
      <c r="E8" s="29"/>
      <c r="F8" s="15" t="s">
        <v>15</v>
      </c>
      <c r="G8" s="17">
        <v>300000000</v>
      </c>
    </row>
    <row r="9" spans="1:7" x14ac:dyDescent="0.3">
      <c r="A9" s="15" t="s">
        <v>19</v>
      </c>
      <c r="B9" s="16">
        <f>SUM(B6:B8)</f>
        <v>27600000</v>
      </c>
      <c r="C9" s="21">
        <f>SUM(C6:C8)</f>
        <v>55200000</v>
      </c>
      <c r="D9" s="16">
        <f>SUM(D6:D8)</f>
        <v>82800000</v>
      </c>
      <c r="E9" s="29"/>
      <c r="F9" s="15" t="s">
        <v>18</v>
      </c>
      <c r="G9" s="16">
        <f>SUM(G7:G8)</f>
        <v>310000000</v>
      </c>
    </row>
    <row r="12" spans="1:7" ht="14.4" customHeight="1" x14ac:dyDescent="0.3">
      <c r="E12" s="31"/>
    </row>
    <row r="13" spans="1:7" x14ac:dyDescent="0.3">
      <c r="E13" s="31"/>
    </row>
    <row r="15" spans="1:7" ht="14.4" customHeight="1" x14ac:dyDescent="0.3">
      <c r="E15" s="32"/>
    </row>
    <row r="16" spans="1:7" ht="14.4" customHeight="1" x14ac:dyDescent="0.3">
      <c r="E16" s="32"/>
    </row>
    <row r="28" spans="1:4" x14ac:dyDescent="0.3">
      <c r="A28" s="68" t="s">
        <v>40</v>
      </c>
      <c r="B28" s="68"/>
      <c r="C28" s="68"/>
      <c r="D28" s="68"/>
    </row>
    <row r="29" spans="1:4" x14ac:dyDescent="0.3">
      <c r="A29" s="68"/>
      <c r="B29" s="68"/>
      <c r="C29" s="68"/>
      <c r="D29" s="68"/>
    </row>
    <row r="30" spans="1:4" x14ac:dyDescent="0.3">
      <c r="A30" s="68"/>
      <c r="B30" s="68"/>
      <c r="C30" s="68"/>
      <c r="D30" s="68"/>
    </row>
    <row r="32" spans="1:4" x14ac:dyDescent="0.3">
      <c r="A32" s="4" t="s">
        <v>20</v>
      </c>
      <c r="B32" s="5"/>
      <c r="C32" s="5"/>
      <c r="D32" s="5"/>
    </row>
    <row r="33" spans="1:4" x14ac:dyDescent="0.3">
      <c r="A33" s="4"/>
      <c r="B33" s="5"/>
      <c r="C33" s="5"/>
      <c r="D33" s="5"/>
    </row>
    <row r="34" spans="1:4" x14ac:dyDescent="0.3">
      <c r="A34" s="33" t="s">
        <v>21</v>
      </c>
      <c r="B34" s="33"/>
      <c r="C34" s="33" t="s">
        <v>39</v>
      </c>
      <c r="D34" s="33"/>
    </row>
    <row r="35" spans="1:4" x14ac:dyDescent="0.3">
      <c r="A35" s="33" t="s">
        <v>36</v>
      </c>
      <c r="B35" s="33"/>
      <c r="C35" s="34">
        <f>$G$9</f>
        <v>310000000</v>
      </c>
      <c r="D35" s="34"/>
    </row>
    <row r="36" spans="1:4" x14ac:dyDescent="0.3">
      <c r="A36" s="33" t="s">
        <v>37</v>
      </c>
      <c r="B36" s="33"/>
      <c r="C36" s="35">
        <f>$C$9</f>
        <v>55200000</v>
      </c>
      <c r="D36" s="35"/>
    </row>
    <row r="37" spans="1:4" x14ac:dyDescent="0.3">
      <c r="A37" s="36" t="s">
        <v>38</v>
      </c>
      <c r="B37" s="36"/>
      <c r="C37" s="37">
        <f>C36/C35</f>
        <v>0.17806451612903226</v>
      </c>
      <c r="D37" s="37"/>
    </row>
    <row r="38" spans="1:4" x14ac:dyDescent="0.3">
      <c r="A38" s="33" t="s">
        <v>42</v>
      </c>
      <c r="B38" s="33"/>
      <c r="C38" s="38">
        <f>SUM(C35:D36)</f>
        <v>365200000</v>
      </c>
      <c r="D38" s="39"/>
    </row>
    <row r="41" spans="1:4" x14ac:dyDescent="0.3">
      <c r="D41" s="40"/>
    </row>
  </sheetData>
  <mergeCells count="21">
    <mergeCell ref="F1:G3"/>
    <mergeCell ref="C34:D34"/>
    <mergeCell ref="A1:D3"/>
    <mergeCell ref="B4:B5"/>
    <mergeCell ref="C4:C5"/>
    <mergeCell ref="D4:D5"/>
    <mergeCell ref="A4:A5"/>
    <mergeCell ref="A28:D30"/>
    <mergeCell ref="A32:D33"/>
    <mergeCell ref="A34:B34"/>
    <mergeCell ref="A38:B38"/>
    <mergeCell ref="C38:D38"/>
    <mergeCell ref="F5:F6"/>
    <mergeCell ref="G5:G6"/>
    <mergeCell ref="F4:G4"/>
    <mergeCell ref="A36:B36"/>
    <mergeCell ref="A37:B37"/>
    <mergeCell ref="A35:B35"/>
    <mergeCell ref="C37:D37"/>
    <mergeCell ref="C35:D35"/>
    <mergeCell ref="C36:D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pw revnue projection</vt:lpstr>
      <vt:lpstr>Smart Prep Institute</vt:lpstr>
      <vt:lpstr>Aakash Institute</vt:lpstr>
      <vt:lpstr>Revnue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cp:lastPrinted>2026-06-22T10:11:46Z</cp:lastPrinted>
  <dcterms:created xsi:type="dcterms:W3CDTF">2026-06-20T09:12:30Z</dcterms:created>
  <dcterms:modified xsi:type="dcterms:W3CDTF">2026-06-25T11:55:41Z</dcterms:modified>
</cp:coreProperties>
</file>